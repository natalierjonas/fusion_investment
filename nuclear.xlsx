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VCPE" sheetId="2" r:id="rId6"/>
  </sheets>
  <definedNames/>
  <calcPr/>
</workbook>
</file>

<file path=xl/sharedStrings.xml><?xml version="1.0" encoding="utf-8"?>
<sst xmlns="http://schemas.openxmlformats.org/spreadsheetml/2006/main" count="132" uniqueCount="41">
  <si>
    <t>NAME</t>
  </si>
  <si>
    <t>MILESTONE</t>
  </si>
  <si>
    <t>NEW_INFUSE</t>
  </si>
  <si>
    <t>FIRE</t>
  </si>
  <si>
    <t>PREVIOUS_INFUSE</t>
  </si>
  <si>
    <t>SUCCESS_PROB</t>
  </si>
  <si>
    <t>RAISED_TO_DATE</t>
  </si>
  <si>
    <t>OPPORTUNITY_SCORE</t>
  </si>
  <si>
    <t>POST_VAL</t>
  </si>
  <si>
    <t>YEAR_FOUNDED</t>
  </si>
  <si>
    <t>VC_BACKED</t>
  </si>
  <si>
    <t>Blue Laser Fusion</t>
  </si>
  <si>
    <t>No</t>
  </si>
  <si>
    <t>Yes</t>
  </si>
  <si>
    <t>Commonwealth Fusion Systems</t>
  </si>
  <si>
    <t>Ex-Fusion</t>
  </si>
  <si>
    <t>Focused Energy</t>
  </si>
  <si>
    <t>Helicity Space</t>
  </si>
  <si>
    <t>Helion</t>
  </si>
  <si>
    <t>Kyoto Fusioneering</t>
  </si>
  <si>
    <t>Marvel Fusion</t>
  </si>
  <si>
    <t>Molten Salt Solutions</t>
  </si>
  <si>
    <t>NA</t>
  </si>
  <si>
    <t>Pacific Fusion</t>
  </si>
  <si>
    <t>Realta Fusion</t>
  </si>
  <si>
    <t>TAE Technologies</t>
  </si>
  <si>
    <t>Thea Energy</t>
  </si>
  <si>
    <t>Tokomak Energy</t>
  </si>
  <si>
    <t>Type One Energy</t>
  </si>
  <si>
    <t>Westinghouse</t>
  </si>
  <si>
    <t>Xcimer Energy</t>
  </si>
  <si>
    <t>Superpower</t>
  </si>
  <si>
    <t>Renaissance Fusion</t>
  </si>
  <si>
    <t>YEAR</t>
  </si>
  <si>
    <t>PE_Total_Capital</t>
  </si>
  <si>
    <t>VC_Total_Capital</t>
  </si>
  <si>
    <t>PE_Deals</t>
  </si>
  <si>
    <t>VC_Deals</t>
  </si>
  <si>
    <t>PE_Companies</t>
  </si>
  <si>
    <t>VC_Companies</t>
  </si>
  <si>
    <t>Total_Capital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</si>
</sst>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5" width="17.88"/>
    <col customWidth="1" min="6" max="6" width="15.38"/>
    <col customWidth="1" min="7" max="7" width="18.88"/>
    <col customWidth="1" min="8" max="8" width="21.5"/>
    <col customWidth="1" min="10" max="10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12</v>
      </c>
      <c r="E2" s="1" t="s">
        <v>12</v>
      </c>
      <c r="F2" s="1">
        <v>70.0</v>
      </c>
      <c r="G2" s="2">
        <v>6.2E7</v>
      </c>
      <c r="H2" s="1">
        <v>79.0</v>
      </c>
      <c r="I2" s="2">
        <v>1.0E8</v>
      </c>
      <c r="J2" s="1">
        <v>2022.0</v>
      </c>
      <c r="K2" s="1" t="s">
        <v>13</v>
      </c>
    </row>
    <row r="3">
      <c r="A3" s="1" t="s">
        <v>14</v>
      </c>
      <c r="B3" s="1" t="s">
        <v>13</v>
      </c>
      <c r="C3" s="1" t="s">
        <v>12</v>
      </c>
      <c r="D3" s="1" t="s">
        <v>12</v>
      </c>
      <c r="E3" s="1" t="s">
        <v>13</v>
      </c>
      <c r="F3" s="1">
        <v>67.0</v>
      </c>
      <c r="G3" s="2">
        <v>2.86E9</v>
      </c>
      <c r="H3" s="1">
        <v>66.0</v>
      </c>
      <c r="J3" s="1">
        <v>2018.0</v>
      </c>
      <c r="K3" s="1" t="s">
        <v>13</v>
      </c>
    </row>
    <row r="4">
      <c r="A4" s="1" t="s">
        <v>15</v>
      </c>
      <c r="B4" s="1" t="s">
        <v>12</v>
      </c>
      <c r="C4" s="1" t="s">
        <v>13</v>
      </c>
      <c r="D4" s="1" t="s">
        <v>12</v>
      </c>
      <c r="E4" s="1" t="s">
        <v>12</v>
      </c>
      <c r="F4" s="1">
        <v>75.0</v>
      </c>
      <c r="G4" s="2">
        <v>4.129E7</v>
      </c>
      <c r="H4" s="1">
        <v>93.0</v>
      </c>
      <c r="I4" s="2">
        <v>7.676E7</v>
      </c>
      <c r="J4" s="1">
        <v>2021.0</v>
      </c>
      <c r="K4" s="1" t="s">
        <v>13</v>
      </c>
    </row>
    <row r="5">
      <c r="A5" s="1" t="s">
        <v>16</v>
      </c>
      <c r="B5" s="1" t="s">
        <v>13</v>
      </c>
      <c r="C5" s="1" t="s">
        <v>13</v>
      </c>
      <c r="D5" s="1" t="s">
        <v>12</v>
      </c>
      <c r="E5" s="1" t="s">
        <v>12</v>
      </c>
      <c r="F5" s="1">
        <v>89.0</v>
      </c>
      <c r="G5" s="2">
        <v>2.47E8</v>
      </c>
      <c r="H5" s="1">
        <v>99.0</v>
      </c>
      <c r="J5" s="1">
        <v>2021.0</v>
      </c>
      <c r="K5" s="1" t="s">
        <v>13</v>
      </c>
    </row>
    <row r="6">
      <c r="A6" s="1" t="s">
        <v>17</v>
      </c>
      <c r="B6" s="1" t="s">
        <v>12</v>
      </c>
      <c r="C6" s="1" t="s">
        <v>12</v>
      </c>
      <c r="D6" s="1" t="s">
        <v>12</v>
      </c>
      <c r="E6" s="1" t="s">
        <v>13</v>
      </c>
      <c r="F6" s="1">
        <v>52.0</v>
      </c>
      <c r="G6" s="2">
        <v>5000000.0</v>
      </c>
      <c r="H6" s="1">
        <v>60.0</v>
      </c>
      <c r="I6" s="2">
        <v>2.0E7</v>
      </c>
      <c r="J6" s="1">
        <v>2018.0</v>
      </c>
      <c r="K6" s="1" t="s">
        <v>13</v>
      </c>
    </row>
    <row r="7">
      <c r="A7" s="1" t="s">
        <v>18</v>
      </c>
      <c r="B7" s="1" t="s">
        <v>12</v>
      </c>
      <c r="C7" s="1" t="s">
        <v>13</v>
      </c>
      <c r="D7" s="1" t="s">
        <v>12</v>
      </c>
      <c r="E7" s="1" t="s">
        <v>12</v>
      </c>
      <c r="F7" s="1">
        <v>94.0</v>
      </c>
      <c r="G7" s="2">
        <v>1.03E9</v>
      </c>
      <c r="H7" s="1">
        <v>74.0</v>
      </c>
      <c r="I7" s="2">
        <v>5.43E9</v>
      </c>
      <c r="J7" s="1">
        <v>2013.0</v>
      </c>
      <c r="K7" s="1" t="s">
        <v>13</v>
      </c>
    </row>
    <row r="8">
      <c r="A8" s="1" t="s">
        <v>19</v>
      </c>
      <c r="B8" s="1" t="s">
        <v>12</v>
      </c>
      <c r="C8" s="1" t="s">
        <v>13</v>
      </c>
      <c r="D8" s="1" t="s">
        <v>12</v>
      </c>
      <c r="E8" s="1" t="s">
        <v>12</v>
      </c>
      <c r="F8" s="1">
        <v>84.0</v>
      </c>
      <c r="G8" s="2">
        <v>1.9128E8</v>
      </c>
      <c r="H8" s="1">
        <v>72.0</v>
      </c>
      <c r="I8" s="2">
        <v>5.0811E8</v>
      </c>
      <c r="J8" s="1">
        <v>2019.0</v>
      </c>
      <c r="K8" s="1" t="s">
        <v>13</v>
      </c>
    </row>
    <row r="9">
      <c r="A9" s="1" t="s">
        <v>20</v>
      </c>
      <c r="B9" s="1" t="s">
        <v>12</v>
      </c>
      <c r="C9" s="1" t="s">
        <v>13</v>
      </c>
      <c r="D9" s="1" t="s">
        <v>12</v>
      </c>
      <c r="E9" s="1" t="s">
        <v>12</v>
      </c>
      <c r="F9" s="1">
        <v>80.0</v>
      </c>
      <c r="G9" s="2">
        <v>1.6184E8</v>
      </c>
      <c r="H9" s="1">
        <v>74.0</v>
      </c>
      <c r="I9" s="2">
        <v>1.2742E8</v>
      </c>
      <c r="J9" s="1">
        <v>2019.0</v>
      </c>
      <c r="K9" s="1" t="s">
        <v>13</v>
      </c>
    </row>
    <row r="10">
      <c r="A10" s="1" t="s">
        <v>21</v>
      </c>
      <c r="B10" s="1" t="s">
        <v>12</v>
      </c>
      <c r="C10" s="1" t="s">
        <v>12</v>
      </c>
      <c r="D10" s="1" t="s">
        <v>12</v>
      </c>
      <c r="E10" s="1" t="s">
        <v>12</v>
      </c>
      <c r="F10" s="1" t="s">
        <v>22</v>
      </c>
      <c r="G10" s="2">
        <v>3000000.0</v>
      </c>
      <c r="H10" s="1" t="s">
        <v>22</v>
      </c>
      <c r="I10" s="2">
        <v>1.0E7</v>
      </c>
      <c r="J10" s="1">
        <v>2018.0</v>
      </c>
      <c r="K10" s="1" t="s">
        <v>13</v>
      </c>
    </row>
    <row r="11">
      <c r="A11" s="1" t="s">
        <v>23</v>
      </c>
      <c r="B11" s="1" t="s">
        <v>12</v>
      </c>
      <c r="C11" s="1" t="s">
        <v>13</v>
      </c>
      <c r="D11" s="1" t="s">
        <v>12</v>
      </c>
      <c r="E11" s="1" t="s">
        <v>12</v>
      </c>
      <c r="G11" s="2">
        <v>9.0E8</v>
      </c>
    </row>
    <row r="12">
      <c r="A12" s="1" t="s">
        <v>24</v>
      </c>
      <c r="B12" s="1" t="s">
        <v>13</v>
      </c>
      <c r="C12" s="1" t="s">
        <v>13</v>
      </c>
      <c r="D12" s="1" t="s">
        <v>12</v>
      </c>
      <c r="E12" s="1" t="s">
        <v>12</v>
      </c>
      <c r="F12" s="1">
        <v>60.0</v>
      </c>
      <c r="G12" s="2">
        <v>5.401E7</v>
      </c>
      <c r="H12" s="1">
        <v>78.0</v>
      </c>
      <c r="I12" s="2">
        <v>1.0551E8</v>
      </c>
      <c r="J12" s="1">
        <v>2022.0</v>
      </c>
      <c r="K12" s="1" t="s">
        <v>13</v>
      </c>
    </row>
    <row r="13">
      <c r="A13" s="1" t="s">
        <v>25</v>
      </c>
      <c r="B13" s="1" t="s">
        <v>12</v>
      </c>
      <c r="C13" s="1" t="s">
        <v>12</v>
      </c>
      <c r="D13" s="1" t="s">
        <v>12</v>
      </c>
      <c r="E13" s="1" t="s">
        <v>13</v>
      </c>
      <c r="F13" s="1">
        <v>97.0</v>
      </c>
      <c r="G13" s="2">
        <v>1.79E9</v>
      </c>
      <c r="H13" s="1">
        <v>79.0</v>
      </c>
      <c r="I13" s="2">
        <v>6.32E9</v>
      </c>
      <c r="J13" s="1">
        <v>1998.0</v>
      </c>
      <c r="K13" s="1" t="s">
        <v>13</v>
      </c>
    </row>
    <row r="14">
      <c r="A14" s="1" t="s">
        <v>26</v>
      </c>
      <c r="B14" s="1" t="s">
        <v>13</v>
      </c>
      <c r="C14" s="1" t="s">
        <v>13</v>
      </c>
      <c r="D14" s="1" t="s">
        <v>13</v>
      </c>
      <c r="E14" s="1" t="s">
        <v>12</v>
      </c>
      <c r="F14" s="1">
        <v>82.0</v>
      </c>
      <c r="G14" s="2">
        <v>3.0E7</v>
      </c>
      <c r="H14" s="1">
        <v>93.0</v>
      </c>
      <c r="I14" s="2">
        <v>6.3E7</v>
      </c>
      <c r="J14" s="1">
        <v>2022.0</v>
      </c>
      <c r="K14" s="1" t="s">
        <v>13</v>
      </c>
    </row>
    <row r="15">
      <c r="A15" s="1" t="s">
        <v>27</v>
      </c>
      <c r="B15" s="1" t="s">
        <v>13</v>
      </c>
      <c r="C15" s="1" t="s">
        <v>12</v>
      </c>
      <c r="D15" s="1" t="s">
        <v>13</v>
      </c>
      <c r="E15" s="1" t="s">
        <v>12</v>
      </c>
    </row>
    <row r="16">
      <c r="A16" s="1" t="s">
        <v>28</v>
      </c>
      <c r="B16" s="1" t="s">
        <v>13</v>
      </c>
      <c r="C16" s="1" t="s">
        <v>12</v>
      </c>
      <c r="D16" s="1" t="s">
        <v>12</v>
      </c>
      <c r="E16" s="1" t="s">
        <v>13</v>
      </c>
      <c r="F16" s="1">
        <v>93.0</v>
      </c>
      <c r="G16" s="2">
        <v>1.694E8</v>
      </c>
      <c r="H16" s="1">
        <v>99.0</v>
      </c>
      <c r="I16" s="2">
        <v>1.3E8</v>
      </c>
      <c r="J16" s="1">
        <v>2019.0</v>
      </c>
      <c r="K16" s="1" t="s">
        <v>13</v>
      </c>
    </row>
    <row r="17">
      <c r="A17" s="1" t="s">
        <v>29</v>
      </c>
      <c r="B17" s="1" t="s">
        <v>12</v>
      </c>
      <c r="C17" s="1" t="s">
        <v>13</v>
      </c>
      <c r="D17" s="1" t="s">
        <v>12</v>
      </c>
      <c r="E17" s="1" t="s">
        <v>12</v>
      </c>
      <c r="G17" s="2">
        <v>7.28E9</v>
      </c>
      <c r="I17" s="2">
        <v>8.0E9</v>
      </c>
      <c r="J17" s="1">
        <v>1886.0</v>
      </c>
      <c r="K17" s="1" t="s">
        <v>12</v>
      </c>
    </row>
    <row r="18">
      <c r="A18" s="1" t="s">
        <v>30</v>
      </c>
      <c r="B18" s="1" t="s">
        <v>13</v>
      </c>
      <c r="C18" s="1" t="s">
        <v>12</v>
      </c>
      <c r="D18" s="1" t="s">
        <v>12</v>
      </c>
      <c r="E18" s="1" t="s">
        <v>13</v>
      </c>
      <c r="F18" s="1">
        <v>72.0</v>
      </c>
      <c r="G18" s="2">
        <v>1.0087E8</v>
      </c>
      <c r="H18" s="1">
        <v>96.0</v>
      </c>
      <c r="I18" s="2">
        <v>2.03E8</v>
      </c>
      <c r="J18" s="1">
        <v>2021.0</v>
      </c>
      <c r="K18" s="1" t="s">
        <v>13</v>
      </c>
    </row>
    <row r="19">
      <c r="A19" s="1" t="s">
        <v>31</v>
      </c>
      <c r="B19" s="1" t="s">
        <v>12</v>
      </c>
      <c r="C19" s="1" t="s">
        <v>12</v>
      </c>
      <c r="D19" s="1" t="s">
        <v>12</v>
      </c>
      <c r="E19" s="1" t="s">
        <v>13</v>
      </c>
      <c r="I19" s="2"/>
      <c r="J19" s="1"/>
      <c r="K19" s="1"/>
    </row>
    <row r="20">
      <c r="A20" s="1" t="s">
        <v>32</v>
      </c>
      <c r="B20" s="1" t="s">
        <v>12</v>
      </c>
      <c r="C20" s="1" t="s">
        <v>12</v>
      </c>
      <c r="D20" s="1" t="s">
        <v>12</v>
      </c>
      <c r="E20" s="1" t="s">
        <v>13</v>
      </c>
      <c r="F20" s="1">
        <v>72.0</v>
      </c>
      <c r="G20" s="2">
        <v>5.076E7</v>
      </c>
      <c r="H20" s="1">
        <v>92.0</v>
      </c>
      <c r="I20" s="1">
        <v>1.5111E8</v>
      </c>
      <c r="J20" s="1">
        <v>2020.0</v>
      </c>
      <c r="K20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6.63"/>
    <col customWidth="1" min="5" max="5" width="15.38"/>
    <col customWidth="1" min="6" max="6" width="15.88"/>
    <col customWidth="1" min="8" max="8" width="43.25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>
      <c r="A2" s="1">
        <v>2017.0</v>
      </c>
      <c r="B2" s="2">
        <v>1.5E7</v>
      </c>
      <c r="C2" s="2">
        <v>2.5416E8</v>
      </c>
      <c r="D2" s="1">
        <v>1.0</v>
      </c>
      <c r="E2" s="1">
        <v>14.0</v>
      </c>
      <c r="F2" s="1">
        <v>1.0</v>
      </c>
      <c r="G2" s="1">
        <v>11.0</v>
      </c>
      <c r="H2" s="2">
        <f t="shared" ref="H2:H10" si="1">SUM(B2,C2)</f>
        <v>269160000</v>
      </c>
    </row>
    <row r="3">
      <c r="A3" s="1">
        <v>2018.0</v>
      </c>
      <c r="B3" s="2">
        <v>6.525E7</v>
      </c>
      <c r="C3" s="2">
        <v>2.9045E8</v>
      </c>
      <c r="D3" s="1">
        <v>1.0</v>
      </c>
      <c r="E3" s="1">
        <v>8.0</v>
      </c>
      <c r="F3" s="1">
        <v>1.0</v>
      </c>
      <c r="G3" s="1">
        <v>8.0</v>
      </c>
      <c r="H3" s="3">
        <f t="shared" si="1"/>
        <v>355700000</v>
      </c>
    </row>
    <row r="4">
      <c r="A4" s="1">
        <v>2019.0</v>
      </c>
      <c r="B4" s="2">
        <v>5.0E7</v>
      </c>
      <c r="C4" s="2">
        <v>4.3456E8</v>
      </c>
      <c r="D4" s="1">
        <v>1.0</v>
      </c>
      <c r="E4" s="1">
        <v>10.0</v>
      </c>
      <c r="F4" s="1">
        <v>1.0</v>
      </c>
      <c r="G4" s="1">
        <v>10.0</v>
      </c>
      <c r="H4" s="3">
        <f t="shared" si="1"/>
        <v>484560000</v>
      </c>
    </row>
    <row r="5">
      <c r="A5" s="1">
        <v>2020.0</v>
      </c>
      <c r="B5" s="2">
        <v>8.0E7</v>
      </c>
      <c r="C5" s="2">
        <v>2.7501E8</v>
      </c>
      <c r="D5" s="1">
        <v>1.0</v>
      </c>
      <c r="E5" s="1">
        <v>14.0</v>
      </c>
      <c r="F5" s="1">
        <v>1.0</v>
      </c>
      <c r="G5" s="1">
        <v>13.0</v>
      </c>
      <c r="H5" s="3">
        <f t="shared" si="1"/>
        <v>355010000</v>
      </c>
    </row>
    <row r="6">
      <c r="A6" s="1">
        <v>2021.0</v>
      </c>
      <c r="B6" s="2">
        <v>1.5E8</v>
      </c>
      <c r="C6" s="2">
        <v>2.89E9</v>
      </c>
      <c r="D6" s="1">
        <v>2.0</v>
      </c>
      <c r="E6" s="1">
        <v>19.0</v>
      </c>
      <c r="F6" s="1">
        <v>2.0</v>
      </c>
      <c r="G6" s="1">
        <v>18.0</v>
      </c>
      <c r="H6" s="3">
        <f t="shared" si="1"/>
        <v>3040000000</v>
      </c>
    </row>
    <row r="7">
      <c r="A7" s="1">
        <v>2022.0</v>
      </c>
      <c r="B7" s="2">
        <v>3270000.0</v>
      </c>
      <c r="C7" s="2">
        <v>6.8566E8</v>
      </c>
      <c r="D7" s="1">
        <v>1.0</v>
      </c>
      <c r="E7" s="1">
        <v>18.0</v>
      </c>
      <c r="F7" s="1">
        <v>1.0</v>
      </c>
      <c r="G7" s="1">
        <v>18.0</v>
      </c>
      <c r="H7" s="3">
        <f t="shared" si="1"/>
        <v>688930000</v>
      </c>
    </row>
    <row r="8">
      <c r="A8" s="1">
        <v>2023.0</v>
      </c>
      <c r="B8" s="2">
        <v>1.3844E8</v>
      </c>
      <c r="C8" s="2">
        <v>7.6636E8</v>
      </c>
      <c r="D8" s="1">
        <v>1.0</v>
      </c>
      <c r="E8" s="1">
        <v>33.0</v>
      </c>
      <c r="F8" s="1">
        <v>1.0</v>
      </c>
      <c r="G8" s="1">
        <v>30.0</v>
      </c>
      <c r="H8" s="3">
        <f t="shared" si="1"/>
        <v>904800000</v>
      </c>
    </row>
    <row r="9">
      <c r="A9" s="1">
        <v>2024.0</v>
      </c>
      <c r="B9" s="2">
        <v>1.3844E8</v>
      </c>
      <c r="C9" s="2">
        <v>1.32E9</v>
      </c>
      <c r="D9" s="1">
        <v>2.0</v>
      </c>
      <c r="E9" s="1">
        <v>38.0</v>
      </c>
      <c r="F9" s="1">
        <v>1.0</v>
      </c>
      <c r="G9" s="1">
        <v>34.0</v>
      </c>
      <c r="H9" s="3">
        <f t="shared" si="1"/>
        <v>1458440000</v>
      </c>
    </row>
    <row r="10">
      <c r="A10" s="1">
        <v>2025.0</v>
      </c>
      <c r="B10" s="2">
        <v>1.72E9</v>
      </c>
      <c r="C10" s="2">
        <v>3.57E9</v>
      </c>
      <c r="D10" s="1">
        <v>3.0</v>
      </c>
      <c r="E10" s="1">
        <v>50.0</v>
      </c>
      <c r="F10" s="1">
        <v>3.0</v>
      </c>
      <c r="G10" s="1">
        <v>46.0</v>
      </c>
      <c r="H10" s="3">
        <f t="shared" si="1"/>
        <v>5290000000</v>
      </c>
    </row>
    <row r="11">
      <c r="A11" s="1">
        <v>2026.0</v>
      </c>
      <c r="C11" s="2">
        <v>6.2218E8</v>
      </c>
      <c r="E11" s="1">
        <v>5.0</v>
      </c>
      <c r="G11" s="1">
        <v>5.0</v>
      </c>
      <c r="H11" s="3">
        <f>SUM(H2:H10)</f>
        <v>12846600000</v>
      </c>
    </row>
  </sheetData>
  <drawing r:id="rId1"/>
</worksheet>
</file>